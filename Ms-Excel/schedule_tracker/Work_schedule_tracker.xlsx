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a705141f4b1687/Desktop/kenji_explains/Ms Excel/Excel_dataset/"/>
    </mc:Choice>
  </mc:AlternateContent>
  <xr:revisionPtr revIDLastSave="69" documentId="13_ncr:1_{104277EE-AC6D-5243-9B2C-AC3E1E9DCA68}" xr6:coauthVersionLast="47" xr6:coauthVersionMax="47" xr10:uidLastSave="{A8C15792-4403-4C8D-AC1A-CD1F2570DB9E}"/>
  <bookViews>
    <workbookView xWindow="-110" yWindow="-110" windowWidth="19420" windowHeight="10300" activeTab="1" xr2:uid="{A109E1A5-8E6C-4D3C-835F-9EEEE4DC6DAF}"/>
  </bookViews>
  <sheets>
    <sheet name="January" sheetId="1" r:id="rId1"/>
    <sheet name="February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8" l="1" a="1"/>
  <c r="AD17" i="8" s="1"/>
  <c r="AC17" i="8" a="1"/>
  <c r="AC17" i="8" s="1"/>
  <c r="AB17" i="8" a="1"/>
  <c r="AB17" i="8" s="1"/>
  <c r="AA17" i="8" a="1"/>
  <c r="AA17" i="8" s="1"/>
  <c r="Z17" i="8" a="1"/>
  <c r="Z17" i="8" s="1"/>
  <c r="Y17" i="8" a="1"/>
  <c r="Y17" i="8" s="1"/>
  <c r="X17" i="8" a="1"/>
  <c r="X17" i="8" s="1"/>
  <c r="W17" i="8" a="1"/>
  <c r="W17" i="8" s="1"/>
  <c r="V17" i="8" a="1"/>
  <c r="V17" i="8" s="1"/>
  <c r="U17" i="8" a="1"/>
  <c r="U17" i="8" s="1"/>
  <c r="T17" i="8" a="1"/>
  <c r="T17" i="8" s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I17" i="8" a="1"/>
  <c r="I17" i="8" s="1"/>
  <c r="H17" i="8" a="1"/>
  <c r="H17" i="8" s="1"/>
  <c r="G17" i="8" a="1"/>
  <c r="G17" i="8" s="1"/>
  <c r="F17" i="8" a="1"/>
  <c r="F17" i="8" s="1"/>
  <c r="E17" i="8" a="1"/>
  <c r="E17" i="8" s="1"/>
  <c r="D17" i="8" a="1"/>
  <c r="D17" i="8" s="1"/>
  <c r="C17" i="8" a="1"/>
  <c r="C17" i="8" s="1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I15" i="8"/>
  <c r="AH15" i="8"/>
  <c r="AG15" i="8"/>
  <c r="AI14" i="8"/>
  <c r="AH14" i="8"/>
  <c r="AG14" i="8"/>
  <c r="AJ14" i="8" s="1"/>
  <c r="AI13" i="8"/>
  <c r="AH13" i="8"/>
  <c r="AG13" i="8"/>
  <c r="AI12" i="8"/>
  <c r="AH12" i="8"/>
  <c r="AG12" i="8"/>
  <c r="AI11" i="8"/>
  <c r="AH11" i="8"/>
  <c r="AG11" i="8"/>
  <c r="AI10" i="8"/>
  <c r="AH10" i="8"/>
  <c r="AG10" i="8"/>
  <c r="C8" i="8" a="1"/>
  <c r="P9" i="8" s="1"/>
  <c r="B1" i="8"/>
  <c r="C8" i="1" a="1"/>
  <c r="AG17" i="1" a="1"/>
  <c r="AG17" i="1" s="1"/>
  <c r="AF17" i="1" a="1"/>
  <c r="AF17" i="1" s="1"/>
  <c r="AE17" i="1" a="1"/>
  <c r="AE17" i="1" s="1"/>
  <c r="AD17" i="1" a="1"/>
  <c r="AD17" i="1" s="1"/>
  <c r="AC17" i="1" a="1"/>
  <c r="AC17" i="1" s="1"/>
  <c r="AB17" i="1" a="1"/>
  <c r="AB17" i="1" s="1"/>
  <c r="AA17" i="1" a="1"/>
  <c r="AA17" i="1" s="1"/>
  <c r="Z17" i="1" a="1"/>
  <c r="Z17" i="1" s="1"/>
  <c r="Y17" i="1" a="1"/>
  <c r="Y17" i="1" s="1"/>
  <c r="X17" i="1" a="1"/>
  <c r="X17" i="1" s="1"/>
  <c r="W17" i="1" a="1"/>
  <c r="W17" i="1" s="1"/>
  <c r="V17" i="1" a="1"/>
  <c r="V17" i="1" s="1"/>
  <c r="U17" i="1" a="1"/>
  <c r="U17" i="1" s="1"/>
  <c r="T17" i="1" a="1"/>
  <c r="T17" i="1" s="1"/>
  <c r="S17" i="1" a="1"/>
  <c r="S17" i="1" s="1"/>
  <c r="R17" i="1" a="1"/>
  <c r="R17" i="1" s="1"/>
  <c r="Q17" i="1" a="1"/>
  <c r="Q17" i="1" s="1"/>
  <c r="P17" i="1" a="1"/>
  <c r="P17" i="1" s="1"/>
  <c r="O17" i="1" a="1"/>
  <c r="O17" i="1" s="1"/>
  <c r="N17" i="1" a="1"/>
  <c r="N17" i="1" s="1"/>
  <c r="M17" i="1" a="1"/>
  <c r="M17" i="1" s="1"/>
  <c r="L17" i="1" a="1"/>
  <c r="L17" i="1" s="1"/>
  <c r="K17" i="1" a="1"/>
  <c r="K17" i="1" s="1"/>
  <c r="J17" i="1" a="1"/>
  <c r="J17" i="1" s="1"/>
  <c r="I17" i="1" a="1"/>
  <c r="I17" i="1" s="1"/>
  <c r="H17" i="1" a="1"/>
  <c r="H17" i="1" s="1"/>
  <c r="G17" i="1" a="1"/>
  <c r="G17" i="1" s="1"/>
  <c r="F17" i="1" a="1"/>
  <c r="F17" i="1" s="1"/>
  <c r="E17" i="1" a="1"/>
  <c r="E17" i="1" s="1"/>
  <c r="D17" i="1" a="1"/>
  <c r="D17" i="1" s="1"/>
  <c r="C17" i="1" a="1"/>
  <c r="C17" i="1" s="1"/>
  <c r="AL15" i="1"/>
  <c r="AK15" i="1"/>
  <c r="AJ15" i="1"/>
  <c r="AL14" i="1"/>
  <c r="AK14" i="1"/>
  <c r="AJ14" i="1"/>
  <c r="AL13" i="1"/>
  <c r="AK13" i="1"/>
  <c r="AJ13" i="1"/>
  <c r="AL12" i="1"/>
  <c r="AK12" i="1"/>
  <c r="AJ12" i="1"/>
  <c r="AM12" i="1" s="1"/>
  <c r="AL11" i="1"/>
  <c r="AK11" i="1"/>
  <c r="AJ11" i="1"/>
  <c r="AK10" i="1"/>
  <c r="AL10" i="1"/>
  <c r="AJ10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" i="1"/>
  <c r="AM14" i="1" l="1"/>
  <c r="AJ13" i="8"/>
  <c r="AJ10" i="8"/>
  <c r="AJ15" i="8"/>
  <c r="AJ11" i="8"/>
  <c r="AJ12" i="8"/>
  <c r="C8" i="8"/>
  <c r="C9" i="8" s="1"/>
  <c r="J9" i="8"/>
  <c r="R9" i="8"/>
  <c r="Z9" i="8"/>
  <c r="S9" i="8"/>
  <c r="AA9" i="8"/>
  <c r="H9" i="8"/>
  <c r="X9" i="8"/>
  <c r="I9" i="8"/>
  <c r="K9" i="8"/>
  <c r="D9" i="8"/>
  <c r="L9" i="8"/>
  <c r="T9" i="8"/>
  <c r="AB9" i="8"/>
  <c r="Q9" i="8"/>
  <c r="E9" i="8"/>
  <c r="M9" i="8"/>
  <c r="U9" i="8"/>
  <c r="AC9" i="8"/>
  <c r="F9" i="8"/>
  <c r="N9" i="8"/>
  <c r="V9" i="8"/>
  <c r="AD9" i="8"/>
  <c r="G9" i="8"/>
  <c r="O9" i="8"/>
  <c r="W9" i="8"/>
  <c r="Y9" i="8"/>
  <c r="AM15" i="1"/>
  <c r="AM11" i="1"/>
  <c r="AM13" i="1"/>
  <c r="AM10" i="1"/>
  <c r="C8" i="1"/>
  <c r="C9" i="1" s="1"/>
  <c r="G9" i="1"/>
  <c r="E9" i="1"/>
  <c r="F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F9" i="1"/>
  <c r="AG9" i="1"/>
  <c r="D9" i="1"/>
  <c r="AE9" i="1"/>
  <c r="AF11" i="8" l="1" a="1"/>
  <c r="AF11" i="8" s="1"/>
  <c r="AF12" i="8" a="1"/>
  <c r="AF12" i="8" s="1"/>
  <c r="AF13" i="8" a="1"/>
  <c r="AF13" i="8" s="1"/>
  <c r="AF14" i="8" a="1"/>
  <c r="AF14" i="8" s="1"/>
  <c r="AF10" i="8" a="1"/>
  <c r="AF10" i="8" s="1"/>
  <c r="AF15" i="8" a="1"/>
  <c r="AF15" i="8" s="1"/>
  <c r="AI10" i="1" a="1"/>
  <c r="AI10" i="1" s="1"/>
  <c r="AI15" i="1" a="1"/>
  <c r="AI15" i="1" s="1"/>
  <c r="AI14" i="1" a="1"/>
  <c r="AI14" i="1" s="1"/>
  <c r="AI13" i="1" a="1"/>
  <c r="AI13" i="1" s="1"/>
  <c r="AI12" i="1" a="1"/>
  <c r="AI12" i="1" s="1"/>
  <c r="AI11" i="1" a="1"/>
  <c r="AI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<sst xmlns="http://schemas.openxmlformats.org/spreadsheetml/2006/main" count="75" uniqueCount="24">
  <si>
    <t>Employee Name</t>
  </si>
  <si>
    <t>Start Date</t>
  </si>
  <si>
    <t>M</t>
  </si>
  <si>
    <t>Description</t>
  </si>
  <si>
    <t>A</t>
  </si>
  <si>
    <t>N</t>
  </si>
  <si>
    <t>Morning (6am - 2pm)</t>
  </si>
  <si>
    <t>Afternoon</t>
  </si>
  <si>
    <t>Afternoon (2pm-10pm)</t>
  </si>
  <si>
    <t>Night (10pm-6am)</t>
  </si>
  <si>
    <t>Number of Shifts</t>
  </si>
  <si>
    <t>Shift</t>
  </si>
  <si>
    <t>Shifts Worked</t>
  </si>
  <si>
    <t>Weekend</t>
  </si>
  <si>
    <t>Morning</t>
  </si>
  <si>
    <t>Night</t>
  </si>
  <si>
    <t>Totals Report</t>
  </si>
  <si>
    <t>Coverage Check</t>
  </si>
  <si>
    <t>Udeh Innocent</t>
  </si>
  <si>
    <t>Okechukwu Chidinma</t>
  </si>
  <si>
    <t>Agbo Jacob</t>
  </si>
  <si>
    <t>Umeh Chidinma</t>
  </si>
  <si>
    <t>Nzeadachie Kosi</t>
  </si>
  <si>
    <t>Moses Esther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</si>
</sst>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164" fontId="2" fillId="2" borderId="0" xfId="0" applyNumberFormat="1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6" fillId="2" borderId="0" xfId="0" applyFont="1" applyFill="1"/>
    <xf numFmtId="14" fontId="3" fillId="0" borderId="1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</cellXfs>
  <cellStyles count="3">
    <cellStyle name="Hyperlink 2" xfId="2" xr:uid="{08A49805-145A-A542-A9FC-C2B61F55A819}"/>
    <cellStyle name="Normal" xfId="0" builtinId="0"/>
    <cellStyle name="Normal 2 2" xfId="1" xr:uid="{223F90DF-E6B3-5045-9202-EB18B3C5FC60}"/>
  </cellStyles>
  <dxfs count="8"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b/>
        <i val="0"/>
        <color theme="3" tint="0.24994659260841701"/>
      </font>
      <fill>
        <patternFill>
          <bgColor theme="3" tint="0.89996032593768116"/>
        </patternFill>
      </fill>
    </dxf>
    <dxf>
      <font>
        <b/>
        <i val="0"/>
        <color theme="5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b/>
        <i val="0"/>
        <color theme="3" tint="0.24994659260841701"/>
      </font>
      <fill>
        <patternFill>
          <bgColor theme="3" tint="0.89996032593768116"/>
        </patternFill>
      </fill>
    </dxf>
    <dxf>
      <font>
        <b/>
        <i val="0"/>
        <color theme="5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3EC0-3E9D-4A74-8A26-4B634DD66B23}">
  <sheetPr>
    <pageSetUpPr autoPageBreaks="0"/>
  </sheetPr>
  <dimension ref="A1:AM22"/>
  <sheetViews>
    <sheetView zoomScale="80" zoomScaleNormal="80" workbookViewId="0">
      <pane xSplit="2" ySplit="1" topLeftCell="Y2" activePane="bottomRight" state="frozen"/>
      <selection pane="topRight" activeCell="C1" sqref="C1"/>
      <selection pane="bottomLeft" activeCell="A4" sqref="A4"/>
      <selection pane="bottomRight" activeCell="A3" activeCellId="1" sqref="A1:XFD1 A3:XFD3"/>
    </sheetView>
  </sheetViews>
  <sheetFormatPr defaultColWidth="8.81640625" defaultRowHeight="14.5" x14ac:dyDescent="0.35"/>
  <cols>
    <col min="1" max="1" width="3.453125" customWidth="1"/>
    <col min="2" max="2" width="19.08984375" bestFit="1" customWidth="1"/>
    <col min="3" max="33" width="7.81640625" style="1" customWidth="1"/>
    <col min="34" max="34" width="8.81640625" style="1"/>
    <col min="35" max="35" width="10" style="1" customWidth="1"/>
    <col min="36" max="37" width="8.81640625" style="1"/>
    <col min="38" max="38" width="8" style="1" customWidth="1"/>
    <col min="39" max="39" width="12.6328125" style="1" bestFit="1" customWidth="1"/>
    <col min="40" max="16384" width="8.81640625" style="1"/>
  </cols>
  <sheetData>
    <row r="1" spans="1:39" s="30" customFormat="1" ht="23.5" x14ac:dyDescent="0.55000000000000004">
      <c r="A1" s="3"/>
      <c r="B1" s="9" t="str">
        <f>"Monthly Work Schedule "&amp;TEXT(B4,"mmmm yyyy")</f>
        <v>Monthly Work Schedule January 2026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3" spans="1:39" x14ac:dyDescent="0.35">
      <c r="B3" s="20" t="s">
        <v>1</v>
      </c>
      <c r="D3" s="17" t="s">
        <v>11</v>
      </c>
      <c r="E3" s="18" t="s">
        <v>3</v>
      </c>
      <c r="F3" s="17"/>
      <c r="G3" s="17"/>
      <c r="M3" s="19"/>
    </row>
    <row r="4" spans="1:39" x14ac:dyDescent="0.35">
      <c r="B4" s="10">
        <v>46023</v>
      </c>
      <c r="D4" s="24" t="s">
        <v>2</v>
      </c>
      <c r="E4" s="14" t="s">
        <v>6</v>
      </c>
      <c r="F4" s="13"/>
      <c r="G4" s="13"/>
      <c r="M4" s="19"/>
    </row>
    <row r="5" spans="1:39" x14ac:dyDescent="0.35">
      <c r="D5" s="22" t="s">
        <v>4</v>
      </c>
      <c r="E5" s="12" t="s">
        <v>8</v>
      </c>
      <c r="F5" s="11"/>
      <c r="G5" s="11"/>
      <c r="M5" s="19"/>
    </row>
    <row r="6" spans="1:39" x14ac:dyDescent="0.35">
      <c r="D6" s="25" t="s">
        <v>5</v>
      </c>
      <c r="E6" s="16" t="s">
        <v>9</v>
      </c>
      <c r="F6" s="15"/>
      <c r="G6" s="15"/>
      <c r="M6" s="19"/>
    </row>
    <row r="8" spans="1:39" x14ac:dyDescent="0.35">
      <c r="B8" s="2"/>
      <c r="C8" s="6" cm="1">
        <f t="array" ref="C8:AG8">_xlfn.SEQUENCE(1,EOMONTH(B4,0)-B4+1,B4)</f>
        <v>46023</v>
      </c>
      <c r="D8" s="6">
        <v>46024</v>
      </c>
      <c r="E8" s="6">
        <v>46025</v>
      </c>
      <c r="F8" s="6">
        <v>46026</v>
      </c>
      <c r="G8" s="6">
        <v>46027</v>
      </c>
      <c r="H8" s="6">
        <v>46028</v>
      </c>
      <c r="I8" s="6">
        <v>46029</v>
      </c>
      <c r="J8" s="6">
        <v>46030</v>
      </c>
      <c r="K8" s="6">
        <v>46031</v>
      </c>
      <c r="L8" s="6">
        <v>46032</v>
      </c>
      <c r="M8" s="6">
        <v>46033</v>
      </c>
      <c r="N8" s="6">
        <v>46034</v>
      </c>
      <c r="O8" s="6">
        <v>46035</v>
      </c>
      <c r="P8" s="6">
        <v>46036</v>
      </c>
      <c r="Q8" s="6">
        <v>46037</v>
      </c>
      <c r="R8" s="6">
        <v>46038</v>
      </c>
      <c r="S8" s="6">
        <v>46039</v>
      </c>
      <c r="T8" s="6">
        <v>46040</v>
      </c>
      <c r="U8" s="6">
        <v>46041</v>
      </c>
      <c r="V8" s="6">
        <v>46042</v>
      </c>
      <c r="W8" s="6">
        <v>46043</v>
      </c>
      <c r="X8" s="6">
        <v>46044</v>
      </c>
      <c r="Y8" s="6">
        <v>46045</v>
      </c>
      <c r="Z8" s="6">
        <v>46046</v>
      </c>
      <c r="AA8" s="6">
        <v>46047</v>
      </c>
      <c r="AB8" s="6">
        <v>46048</v>
      </c>
      <c r="AC8" s="6">
        <v>46049</v>
      </c>
      <c r="AD8" s="6">
        <v>46050</v>
      </c>
      <c r="AE8" s="6">
        <v>46051</v>
      </c>
      <c r="AF8" s="6">
        <v>46052</v>
      </c>
      <c r="AG8" s="6">
        <v>46053</v>
      </c>
      <c r="AI8" s="31" t="s">
        <v>16</v>
      </c>
      <c r="AJ8" s="31"/>
      <c r="AK8" s="31"/>
      <c r="AL8" s="31"/>
      <c r="AM8" s="31"/>
    </row>
    <row r="9" spans="1:39" x14ac:dyDescent="0.35">
      <c r="B9" s="7" t="s">
        <v>0</v>
      </c>
      <c r="C9" s="8" t="str">
        <f>TEXT(C8,"ddd")</f>
        <v>Thu</v>
      </c>
      <c r="D9" s="8" t="str">
        <f t="shared" ref="D9:AG9" si="0">TEXT(D8,"ddd")</f>
        <v>Fri</v>
      </c>
      <c r="E9" s="8" t="str">
        <f t="shared" si="0"/>
        <v>Sat</v>
      </c>
      <c r="F9" s="8" t="str">
        <f t="shared" si="0"/>
        <v>Sun</v>
      </c>
      <c r="G9" s="8" t="str">
        <f t="shared" si="0"/>
        <v>Mon</v>
      </c>
      <c r="H9" s="8" t="str">
        <f t="shared" si="0"/>
        <v>Tue</v>
      </c>
      <c r="I9" s="8" t="str">
        <f t="shared" si="0"/>
        <v>Wed</v>
      </c>
      <c r="J9" s="8" t="str">
        <f t="shared" si="0"/>
        <v>Thu</v>
      </c>
      <c r="K9" s="8" t="str">
        <f t="shared" si="0"/>
        <v>Fri</v>
      </c>
      <c r="L9" s="8" t="str">
        <f t="shared" si="0"/>
        <v>Sat</v>
      </c>
      <c r="M9" s="8" t="str">
        <f t="shared" si="0"/>
        <v>Sun</v>
      </c>
      <c r="N9" s="8" t="str">
        <f t="shared" si="0"/>
        <v>Mon</v>
      </c>
      <c r="O9" s="8" t="str">
        <f t="shared" si="0"/>
        <v>Tue</v>
      </c>
      <c r="P9" s="8" t="str">
        <f t="shared" si="0"/>
        <v>Wed</v>
      </c>
      <c r="Q9" s="8" t="str">
        <f t="shared" si="0"/>
        <v>Thu</v>
      </c>
      <c r="R9" s="8" t="str">
        <f t="shared" si="0"/>
        <v>Fri</v>
      </c>
      <c r="S9" s="8" t="str">
        <f t="shared" si="0"/>
        <v>Sat</v>
      </c>
      <c r="T9" s="8" t="str">
        <f t="shared" si="0"/>
        <v>Sun</v>
      </c>
      <c r="U9" s="8" t="str">
        <f t="shared" si="0"/>
        <v>Mon</v>
      </c>
      <c r="V9" s="8" t="str">
        <f t="shared" si="0"/>
        <v>Tue</v>
      </c>
      <c r="W9" s="8" t="str">
        <f t="shared" si="0"/>
        <v>Wed</v>
      </c>
      <c r="X9" s="8" t="str">
        <f t="shared" si="0"/>
        <v>Thu</v>
      </c>
      <c r="Y9" s="8" t="str">
        <f t="shared" si="0"/>
        <v>Fri</v>
      </c>
      <c r="Z9" s="8" t="str">
        <f t="shared" si="0"/>
        <v>Sat</v>
      </c>
      <c r="AA9" s="8" t="str">
        <f t="shared" si="0"/>
        <v>Sun</v>
      </c>
      <c r="AB9" s="8" t="str">
        <f t="shared" si="0"/>
        <v>Mon</v>
      </c>
      <c r="AC9" s="8" t="str">
        <f t="shared" si="0"/>
        <v>Tue</v>
      </c>
      <c r="AD9" s="8" t="str">
        <f t="shared" si="0"/>
        <v>Wed</v>
      </c>
      <c r="AE9" s="8" t="str">
        <f t="shared" si="0"/>
        <v>Thu</v>
      </c>
      <c r="AF9" s="8" t="str">
        <f t="shared" si="0"/>
        <v>Fri</v>
      </c>
      <c r="AG9" s="8" t="str">
        <f t="shared" si="0"/>
        <v>Sat</v>
      </c>
      <c r="AI9" s="8" t="s">
        <v>13</v>
      </c>
      <c r="AJ9" s="8" t="s">
        <v>14</v>
      </c>
      <c r="AK9" s="8" t="s">
        <v>7</v>
      </c>
      <c r="AL9" s="8" t="s">
        <v>15</v>
      </c>
      <c r="AM9" s="8" t="s">
        <v>12</v>
      </c>
    </row>
    <row r="10" spans="1:39" ht="22" customHeight="1" x14ac:dyDescent="0.35">
      <c r="B10" s="21" t="s">
        <v>18</v>
      </c>
      <c r="C10" s="23" t="s">
        <v>4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 t="s">
        <v>4</v>
      </c>
      <c r="AA10" s="23"/>
      <c r="AB10" s="23"/>
      <c r="AC10" s="23"/>
      <c r="AD10" s="23"/>
      <c r="AE10" s="23" t="s">
        <v>2</v>
      </c>
      <c r="AF10" s="23"/>
      <c r="AG10" s="23"/>
      <c r="AI10" s="23" cm="1">
        <f t="array" ref="AI10">SUMPRODUCT(($C$9:$AG$9="Sat")+($C$9:$AG$9="Sun"),--(C10:AG10&lt;&gt;""))</f>
        <v>1</v>
      </c>
      <c r="AJ10" s="23">
        <f t="shared" ref="AJ10:AJ15" si="1">COUNTIF(C10:AG10,"M")</f>
        <v>1</v>
      </c>
      <c r="AK10" s="23">
        <f t="shared" ref="AK10:AK15" si="2">COUNTIF(C10:AG10,"A")</f>
        <v>2</v>
      </c>
      <c r="AL10" s="23">
        <f t="shared" ref="AL10:AL15" si="3">COUNTIF(C10:AG10,"N")</f>
        <v>0</v>
      </c>
      <c r="AM10" s="23">
        <f>SUM(AJ10:AL10)</f>
        <v>3</v>
      </c>
    </row>
    <row r="11" spans="1:39" ht="22" customHeight="1" x14ac:dyDescent="0.35">
      <c r="B11" s="21" t="s">
        <v>19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 t="s">
        <v>5</v>
      </c>
      <c r="AA11" s="23" t="s">
        <v>4</v>
      </c>
      <c r="AB11" s="23"/>
      <c r="AC11" s="23"/>
      <c r="AD11" s="23"/>
      <c r="AE11" s="23"/>
      <c r="AF11" s="23"/>
      <c r="AG11" s="23"/>
      <c r="AI11" s="23" cm="1">
        <f t="array" ref="AI11">SUMPRODUCT(($C$9:$AG$9="Sat")+($C$9:$AG$9="Sun"),--(C11:AG11&lt;&gt;""))</f>
        <v>2</v>
      </c>
      <c r="AJ11" s="23">
        <f t="shared" si="1"/>
        <v>0</v>
      </c>
      <c r="AK11" s="23">
        <f t="shared" si="2"/>
        <v>1</v>
      </c>
      <c r="AL11" s="23">
        <f t="shared" si="3"/>
        <v>1</v>
      </c>
      <c r="AM11" s="23">
        <f t="shared" ref="AM11:AM15" si="4">SUM(AJ11:AL11)</f>
        <v>2</v>
      </c>
    </row>
    <row r="12" spans="1:39" ht="22" customHeight="1" x14ac:dyDescent="0.35">
      <c r="B12" s="21" t="s">
        <v>20</v>
      </c>
      <c r="C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I12" s="23" cm="1">
        <f t="array" ref="AI12">SUMPRODUCT(($C$9:$AG$9="Sat")+($C$9:$AG$9="Sun"),--(C12:AG12&lt;&gt;""))</f>
        <v>0</v>
      </c>
      <c r="AJ12" s="23">
        <f t="shared" si="1"/>
        <v>0</v>
      </c>
      <c r="AK12" s="23">
        <f t="shared" si="2"/>
        <v>0</v>
      </c>
      <c r="AL12" s="23">
        <f t="shared" si="3"/>
        <v>0</v>
      </c>
      <c r="AM12" s="23">
        <f t="shared" si="4"/>
        <v>0</v>
      </c>
    </row>
    <row r="13" spans="1:39" ht="22" customHeight="1" x14ac:dyDescent="0.35">
      <c r="B13" s="21" t="s">
        <v>21</v>
      </c>
      <c r="C13" s="23" t="s">
        <v>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 t="s">
        <v>4</v>
      </c>
      <c r="AA13" s="23" t="s">
        <v>2</v>
      </c>
      <c r="AB13" s="23"/>
      <c r="AC13" s="23"/>
      <c r="AD13" s="23"/>
      <c r="AE13" s="23"/>
      <c r="AF13" s="23"/>
      <c r="AG13" s="23"/>
      <c r="AI13" s="23" cm="1">
        <f t="array" ref="AI13">SUMPRODUCT(($C$9:$AG$9="Sat")+($C$9:$AG$9="Sun"),--(C13:AG13&lt;&gt;""))</f>
        <v>2</v>
      </c>
      <c r="AJ13" s="23">
        <f t="shared" si="1"/>
        <v>2</v>
      </c>
      <c r="AK13" s="23">
        <f t="shared" si="2"/>
        <v>1</v>
      </c>
      <c r="AL13" s="23">
        <f t="shared" si="3"/>
        <v>0</v>
      </c>
      <c r="AM13" s="23">
        <f t="shared" si="4"/>
        <v>3</v>
      </c>
    </row>
    <row r="14" spans="1:39" ht="22" customHeight="1" x14ac:dyDescent="0.35">
      <c r="B14" s="21" t="s">
        <v>22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I14" s="23" cm="1">
        <f t="array" ref="AI14">SUMPRODUCT(($C$9:$AG$9="Sat")+($C$9:$AG$9="Sun"),--(C14:AG14&lt;&gt;""))</f>
        <v>0</v>
      </c>
      <c r="AJ14" s="23">
        <f t="shared" si="1"/>
        <v>0</v>
      </c>
      <c r="AK14" s="23">
        <f t="shared" si="2"/>
        <v>0</v>
      </c>
      <c r="AL14" s="23">
        <f t="shared" si="3"/>
        <v>0</v>
      </c>
      <c r="AM14" s="23">
        <f t="shared" si="4"/>
        <v>0</v>
      </c>
    </row>
    <row r="15" spans="1:39" ht="22" customHeight="1" x14ac:dyDescent="0.35">
      <c r="B15" s="21" t="s">
        <v>23</v>
      </c>
      <c r="C15" s="23" t="s">
        <v>5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 t="s">
        <v>2</v>
      </c>
      <c r="AA15" s="23" t="s">
        <v>5</v>
      </c>
      <c r="AB15" s="23"/>
      <c r="AC15" s="23"/>
      <c r="AD15" s="23"/>
      <c r="AE15" s="23"/>
      <c r="AF15" s="23"/>
      <c r="AG15" s="23"/>
      <c r="AI15" s="23" cm="1">
        <f t="array" ref="AI15">SUMPRODUCT(($C$9:$AG$9="Sat")+($C$9:$AG$9="Sun"),--(C15:AG15&lt;&gt;""))</f>
        <v>2</v>
      </c>
      <c r="AJ15" s="23">
        <f t="shared" si="1"/>
        <v>1</v>
      </c>
      <c r="AK15" s="23">
        <f t="shared" si="2"/>
        <v>0</v>
      </c>
      <c r="AL15" s="23">
        <f t="shared" si="3"/>
        <v>2</v>
      </c>
      <c r="AM15" s="23">
        <f t="shared" si="4"/>
        <v>3</v>
      </c>
    </row>
    <row r="16" spans="1:39" ht="22" customHeight="1" x14ac:dyDescent="0.35">
      <c r="B16" s="26" t="s">
        <v>10</v>
      </c>
      <c r="C16" s="27">
        <f>COUNTA(C10:C15)</f>
        <v>3</v>
      </c>
      <c r="D16" s="27">
        <f t="shared" ref="D16:AG16" si="5">COUNTA(D10:D15)</f>
        <v>0</v>
      </c>
      <c r="E16" s="27">
        <f t="shared" si="5"/>
        <v>0</v>
      </c>
      <c r="F16" s="27">
        <f t="shared" si="5"/>
        <v>0</v>
      </c>
      <c r="G16" s="27">
        <f t="shared" si="5"/>
        <v>0</v>
      </c>
      <c r="H16" s="27">
        <f t="shared" si="5"/>
        <v>0</v>
      </c>
      <c r="I16" s="27">
        <f t="shared" si="5"/>
        <v>0</v>
      </c>
      <c r="J16" s="27">
        <f t="shared" si="5"/>
        <v>0</v>
      </c>
      <c r="K16" s="27">
        <f t="shared" si="5"/>
        <v>0</v>
      </c>
      <c r="L16" s="27">
        <f t="shared" si="5"/>
        <v>0</v>
      </c>
      <c r="M16" s="27">
        <f t="shared" si="5"/>
        <v>0</v>
      </c>
      <c r="N16" s="27">
        <f t="shared" si="5"/>
        <v>0</v>
      </c>
      <c r="O16" s="27">
        <f t="shared" si="5"/>
        <v>0</v>
      </c>
      <c r="P16" s="27">
        <f t="shared" si="5"/>
        <v>0</v>
      </c>
      <c r="Q16" s="27">
        <f t="shared" si="5"/>
        <v>0</v>
      </c>
      <c r="R16" s="27">
        <f t="shared" si="5"/>
        <v>0</v>
      </c>
      <c r="S16" s="27">
        <f t="shared" si="5"/>
        <v>0</v>
      </c>
      <c r="T16" s="27">
        <f t="shared" si="5"/>
        <v>0</v>
      </c>
      <c r="U16" s="27">
        <f t="shared" si="5"/>
        <v>0</v>
      </c>
      <c r="V16" s="27">
        <f t="shared" si="5"/>
        <v>0</v>
      </c>
      <c r="W16" s="27">
        <f t="shared" si="5"/>
        <v>0</v>
      </c>
      <c r="X16" s="27">
        <f t="shared" si="5"/>
        <v>0</v>
      </c>
      <c r="Y16" s="27">
        <f t="shared" si="5"/>
        <v>0</v>
      </c>
      <c r="Z16" s="27">
        <f t="shared" si="5"/>
        <v>4</v>
      </c>
      <c r="AA16" s="27">
        <f t="shared" si="5"/>
        <v>3</v>
      </c>
      <c r="AB16" s="27">
        <f t="shared" si="5"/>
        <v>0</v>
      </c>
      <c r="AC16" s="27">
        <f t="shared" si="5"/>
        <v>0</v>
      </c>
      <c r="AD16" s="27">
        <f t="shared" si="5"/>
        <v>0</v>
      </c>
      <c r="AE16" s="27">
        <f t="shared" si="5"/>
        <v>1</v>
      </c>
      <c r="AF16" s="27">
        <f t="shared" si="5"/>
        <v>0</v>
      </c>
      <c r="AG16" s="27">
        <f t="shared" si="5"/>
        <v>0</v>
      </c>
      <c r="AI16" s="23"/>
      <c r="AJ16" s="23"/>
      <c r="AK16" s="23"/>
      <c r="AL16" s="23"/>
    </row>
    <row r="17" spans="2:33" ht="16.75" customHeight="1" x14ac:dyDescent="0.35">
      <c r="B17" s="28" t="s">
        <v>17</v>
      </c>
      <c r="C17" s="29" t="str" cm="1">
        <f t="array" ref="C17">IF(MIN(COUNTIF(C10:C15,{"M","A","N"}))=0,"Missing","")</f>
        <v/>
      </c>
      <c r="D17" s="29" t="str" cm="1">
        <f t="array" ref="D17">IF(MIN(COUNTIF(D10:D15,{"M","A","N"}))=0,"Missing","")</f>
        <v>Missing</v>
      </c>
      <c r="E17" s="29" t="str" cm="1">
        <f t="array" ref="E17">IF(MIN(COUNTIF(E10:E15,{"M","A","N"}))=0,"Missing","")</f>
        <v>Missing</v>
      </c>
      <c r="F17" s="29" t="str" cm="1">
        <f t="array" ref="F17">IF(MIN(COUNTIF(F10:F15,{"M","A","N"}))=0,"Missing","")</f>
        <v>Missing</v>
      </c>
      <c r="G17" s="29" t="str" cm="1">
        <f t="array" ref="G17">IF(MIN(COUNTIF(G10:G15,{"M","A","N"}))=0,"Missing","")</f>
        <v>Missing</v>
      </c>
      <c r="H17" s="29" t="str" cm="1">
        <f t="array" ref="H17">IF(MIN(COUNTIF(H10:H15,{"M","A","N"}))=0,"Missing","")</f>
        <v>Missing</v>
      </c>
      <c r="I17" s="29" t="str" cm="1">
        <f t="array" ref="I17">IF(MIN(COUNTIF(I10:I15,{"M","A","N"}))=0,"Missing","")</f>
        <v>Missing</v>
      </c>
      <c r="J17" s="29" t="str" cm="1">
        <f t="array" ref="J17">IF(MIN(COUNTIF(J10:J15,{"M","A","N"}))=0,"Missing","")</f>
        <v>Missing</v>
      </c>
      <c r="K17" s="29" t="str" cm="1">
        <f t="array" ref="K17">IF(MIN(COUNTIF(K10:K15,{"M","A","N"}))=0,"Missing","")</f>
        <v>Missing</v>
      </c>
      <c r="L17" s="29" t="str" cm="1">
        <f t="array" ref="L17">IF(MIN(COUNTIF(L10:L15,{"M","A","N"}))=0,"Missing","")</f>
        <v>Missing</v>
      </c>
      <c r="M17" s="29" t="str" cm="1">
        <f t="array" ref="M17">IF(MIN(COUNTIF(M10:M15,{"M","A","N"}))=0,"Missing","")</f>
        <v>Missing</v>
      </c>
      <c r="N17" s="29" t="str" cm="1">
        <f t="array" ref="N17">IF(MIN(COUNTIF(N10:N15,{"M","A","N"}))=0,"Missing","")</f>
        <v>Missing</v>
      </c>
      <c r="O17" s="29" t="str" cm="1">
        <f t="array" ref="O17">IF(MIN(COUNTIF(O10:O15,{"M","A","N"}))=0,"Missing","")</f>
        <v>Missing</v>
      </c>
      <c r="P17" s="29" t="str" cm="1">
        <f t="array" ref="P17">IF(MIN(COUNTIF(P10:P15,{"M","A","N"}))=0,"Missing","")</f>
        <v>Missing</v>
      </c>
      <c r="Q17" s="29" t="str" cm="1">
        <f t="array" ref="Q17">IF(MIN(COUNTIF(Q10:Q15,{"M","A","N"}))=0,"Missing","")</f>
        <v>Missing</v>
      </c>
      <c r="R17" s="29" t="str" cm="1">
        <f t="array" ref="R17">IF(MIN(COUNTIF(R10:R15,{"M","A","N"}))=0,"Missing","")</f>
        <v>Missing</v>
      </c>
      <c r="S17" s="29" t="str" cm="1">
        <f t="array" ref="S17">IF(MIN(COUNTIF(S10:S15,{"M","A","N"}))=0,"Missing","")</f>
        <v>Missing</v>
      </c>
      <c r="T17" s="29" t="str" cm="1">
        <f t="array" ref="T17">IF(MIN(COUNTIF(T10:T15,{"M","A","N"}))=0,"Missing","")</f>
        <v>Missing</v>
      </c>
      <c r="U17" s="29" t="str" cm="1">
        <f t="array" ref="U17">IF(MIN(COUNTIF(U10:U15,{"M","A","N"}))=0,"Missing","")</f>
        <v>Missing</v>
      </c>
      <c r="V17" s="29" t="str" cm="1">
        <f t="array" ref="V17">IF(MIN(COUNTIF(V10:V15,{"M","A","N"}))=0,"Missing","")</f>
        <v>Missing</v>
      </c>
      <c r="W17" s="29" t="str" cm="1">
        <f t="array" ref="W17">IF(MIN(COUNTIF(W10:W15,{"M","A","N"}))=0,"Missing","")</f>
        <v>Missing</v>
      </c>
      <c r="X17" s="29" t="str" cm="1">
        <f t="array" ref="X17">IF(MIN(COUNTIF(X10:X15,{"M","A","N"}))=0,"Missing","")</f>
        <v>Missing</v>
      </c>
      <c r="Y17" s="29" t="str" cm="1">
        <f t="array" ref="Y17">IF(MIN(COUNTIF(Y10:Y15,{"M","A","N"}))=0,"Missing","")</f>
        <v>Missing</v>
      </c>
      <c r="Z17" s="29" t="str" cm="1">
        <f t="array" ref="Z17">IF(MIN(COUNTIF(Z10:Z15,{"M","A","N"}))=0,"Missing","")</f>
        <v/>
      </c>
      <c r="AA17" s="29" t="str" cm="1">
        <f t="array" ref="AA17">IF(MIN(COUNTIF(AA10:AA15,{"M","A","N"}))=0,"Missing","")</f>
        <v/>
      </c>
      <c r="AB17" s="29" t="str" cm="1">
        <f t="array" ref="AB17">IF(MIN(COUNTIF(AB10:AB15,{"M","A","N"}))=0,"Missing","")</f>
        <v>Missing</v>
      </c>
      <c r="AC17" s="29" t="str" cm="1">
        <f t="array" ref="AC17">IF(MIN(COUNTIF(AC10:AC15,{"M","A","N"}))=0,"Missing","")</f>
        <v>Missing</v>
      </c>
      <c r="AD17" s="29" t="str" cm="1">
        <f t="array" ref="AD17">IF(MIN(COUNTIF(AD10:AD15,{"M","A","N"}))=0,"Missing","")</f>
        <v>Missing</v>
      </c>
      <c r="AE17" s="29" t="str" cm="1">
        <f t="array" ref="AE17">IF(MIN(COUNTIF(AE10:AE15,{"M","A","N"}))=0,"Missing","")</f>
        <v>Missing</v>
      </c>
      <c r="AF17" s="29" t="str" cm="1">
        <f t="array" ref="AF17">IF(MIN(COUNTIF(AF10:AF15,{"M","A","N"}))=0,"Missing","")</f>
        <v>Missing</v>
      </c>
      <c r="AG17" s="29" t="str" cm="1">
        <f t="array" ref="AG17">IF(MIN(COUNTIF(AG10:AG15,{"M","A","N"}))=0,"Missing","")</f>
        <v>Missing</v>
      </c>
    </row>
    <row r="19" spans="2:33" x14ac:dyDescent="0.35">
      <c r="B19" s="1"/>
    </row>
    <row r="20" spans="2:33" x14ac:dyDescent="0.35">
      <c r="B20" s="1"/>
    </row>
    <row r="21" spans="2:33" x14ac:dyDescent="0.35">
      <c r="B21" s="1"/>
    </row>
    <row r="22" spans="2:33" x14ac:dyDescent="0.35">
      <c r="B22" s="1"/>
    </row>
  </sheetData>
  <mergeCells count="1">
    <mergeCell ref="AI8:AM8"/>
  </mergeCells>
  <conditionalFormatting sqref="C10:N11 O10:AG12 C12 E12:I12 J12:N13 O13:V13 C13:I14 W13:AG15 J14:V14 C15:V15">
    <cfRule type="cellIs" dxfId="7" priority="5" operator="equal">
      <formula>"M"</formula>
    </cfRule>
    <cfRule type="cellIs" dxfId="6" priority="6" operator="equal">
      <formula>"A"</formula>
    </cfRule>
    <cfRule type="cellIs" dxfId="5" priority="7" operator="equal">
      <formula>"N"</formula>
    </cfRule>
  </conditionalFormatting>
  <conditionalFormatting sqref="C8:AG17">
    <cfRule type="expression" dxfId="4" priority="2">
      <formula>C$8=TODAY()</formula>
    </cfRule>
  </conditionalFormatting>
  <conditionalFormatting sqref="AI10:AI1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{71395BEF-A059-4D06-9F46-D88D7D665C0C}</x14:id>
        </ext>
      </extLst>
    </cfRule>
  </conditionalFormatting>
  <conditionalFormatting sqref="AM10:AM1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{4A35A41F-39BA-4402-BA58-822ADE0FB8C1}</x14:id>
        </ext>
      </extLst>
    </cfRule>
  </conditionalFormatting>
  <conditionalFormatting sqref="AI10:AI15 AM10:AM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{D555C7CE-428E-4829-8957-C69C5F2C5A0B}</x14:id>
        </ext>
      </extLst>
    </cfRule>
  </conditionalFormatting>
  <dataValidations count="1">
    <dataValidation type="list" allowBlank="1" showInputMessage="1" showErrorMessage="1" sqref="D15:G15 H14:I15 D13:D14 C12:C15 F14:G14 C10:N11 J12:N15 E12:E14 F12:I13 O10:AG15" xr:uid="{34ADA2AB-F6CA-499E-9053-2DF8E346DFF4}">
      <formula1>$D$4:$D$6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395BEF-A059-4D06-9F46-D88D7D665C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AI10:AI15</xm:sqref>
        </x14:conditionalFormatting>
        <x14:conditionalFormatting xmlns:xm="http://schemas.microsoft.com/office/excel/2006/main">
          <x14:cfRule type="dataBar" id="{4A35A41F-39BA-4402-BA58-822ADE0FB8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AM10:AM15</xm:sqref>
        </x14:conditionalFormatting>
        <x14:conditionalFormatting xmlns:xm="http://schemas.microsoft.com/office/excel/2006/main">
          <x14:cfRule type="dataBar" id="{D555C7CE-428E-4829-8957-C69C5F2C5A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AI10:AI15 AM10:AM15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CDCA-10AA-4F00-926D-FC2570933858}">
  <sheetPr>
    <pageSetUpPr autoPageBreaks="0"/>
  </sheetPr>
  <dimension ref="A1:AJ22"/>
  <sheetViews>
    <sheetView tabSelected="1" zoomScale="80" zoomScaleNormal="80" workbookViewId="0">
      <pane xSplit="2" ySplit="1" topLeftCell="C15" activePane="bottomRight" state="frozen"/>
      <selection pane="topRight" activeCell="C1" sqref="C1"/>
      <selection pane="bottomLeft" activeCell="A4" sqref="A4"/>
      <selection pane="bottomRight" activeCell="I14" sqref="I14"/>
    </sheetView>
  </sheetViews>
  <sheetFormatPr defaultColWidth="8.81640625" defaultRowHeight="14.5" x14ac:dyDescent="0.35"/>
  <cols>
    <col min="1" max="1" width="3.453125" customWidth="1"/>
    <col min="2" max="2" width="19.08984375" bestFit="1" customWidth="1"/>
    <col min="3" max="30" width="7.81640625" style="1" customWidth="1"/>
    <col min="31" max="31" width="8.81640625" style="1"/>
    <col min="32" max="32" width="10" style="1" customWidth="1"/>
    <col min="33" max="34" width="8.81640625" style="1"/>
    <col min="35" max="35" width="8" style="1" customWidth="1"/>
    <col min="36" max="36" width="12.6328125" style="1" bestFit="1" customWidth="1"/>
    <col min="37" max="16384" width="8.81640625" style="1"/>
  </cols>
  <sheetData>
    <row r="1" spans="1:36" s="30" customFormat="1" ht="23.5" x14ac:dyDescent="0.55000000000000004">
      <c r="A1" s="3"/>
      <c r="B1" s="9" t="str">
        <f>"Monthly Work Schedule "&amp;TEXT(B4,"mmmm yyyy")</f>
        <v>Monthly Work Schedule February 2026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3" spans="1:36" x14ac:dyDescent="0.35">
      <c r="B3" s="20" t="s">
        <v>1</v>
      </c>
      <c r="D3" s="17" t="s">
        <v>11</v>
      </c>
      <c r="E3" s="18" t="s">
        <v>3</v>
      </c>
      <c r="F3" s="17"/>
      <c r="G3" s="17"/>
      <c r="M3" s="19"/>
    </row>
    <row r="4" spans="1:36" x14ac:dyDescent="0.35">
      <c r="B4" s="10">
        <v>46054</v>
      </c>
      <c r="D4" s="24" t="s">
        <v>2</v>
      </c>
      <c r="E4" s="14" t="s">
        <v>6</v>
      </c>
      <c r="F4" s="13"/>
      <c r="G4" s="13"/>
      <c r="M4" s="19"/>
    </row>
    <row r="5" spans="1:36" x14ac:dyDescent="0.35">
      <c r="D5" s="22" t="s">
        <v>4</v>
      </c>
      <c r="E5" s="12" t="s">
        <v>8</v>
      </c>
      <c r="F5" s="11"/>
      <c r="G5" s="11"/>
      <c r="M5" s="19"/>
    </row>
    <row r="6" spans="1:36" x14ac:dyDescent="0.35">
      <c r="D6" s="25" t="s">
        <v>5</v>
      </c>
      <c r="E6" s="16" t="s">
        <v>9</v>
      </c>
      <c r="F6" s="15"/>
      <c r="G6" s="15"/>
      <c r="M6" s="19"/>
    </row>
    <row r="8" spans="1:36" x14ac:dyDescent="0.35">
      <c r="B8" s="2"/>
      <c r="C8" s="6" cm="1">
        <f t="array" ref="C8:AD8">_xlfn.SEQUENCE(1,EOMONTH(B4,0)-B4+1,B4)</f>
        <v>46054</v>
      </c>
      <c r="D8" s="6">
        <v>46055</v>
      </c>
      <c r="E8" s="6">
        <v>46056</v>
      </c>
      <c r="F8" s="6">
        <v>46057</v>
      </c>
      <c r="G8" s="6">
        <v>46058</v>
      </c>
      <c r="H8" s="6">
        <v>46059</v>
      </c>
      <c r="I8" s="6">
        <v>46060</v>
      </c>
      <c r="J8" s="6">
        <v>46061</v>
      </c>
      <c r="K8" s="6">
        <v>46062</v>
      </c>
      <c r="L8" s="6">
        <v>46063</v>
      </c>
      <c r="M8" s="6">
        <v>46064</v>
      </c>
      <c r="N8" s="6">
        <v>46065</v>
      </c>
      <c r="O8" s="6">
        <v>46066</v>
      </c>
      <c r="P8" s="6">
        <v>46067</v>
      </c>
      <c r="Q8" s="6">
        <v>46068</v>
      </c>
      <c r="R8" s="6">
        <v>46069</v>
      </c>
      <c r="S8" s="6">
        <v>46070</v>
      </c>
      <c r="T8" s="6">
        <v>46071</v>
      </c>
      <c r="U8" s="6">
        <v>46072</v>
      </c>
      <c r="V8" s="6">
        <v>46073</v>
      </c>
      <c r="W8" s="6">
        <v>46074</v>
      </c>
      <c r="X8" s="6">
        <v>46075</v>
      </c>
      <c r="Y8" s="6">
        <v>46076</v>
      </c>
      <c r="Z8" s="6">
        <v>46077</v>
      </c>
      <c r="AA8" s="6">
        <v>46078</v>
      </c>
      <c r="AB8" s="6">
        <v>46079</v>
      </c>
      <c r="AC8" s="6">
        <v>46080</v>
      </c>
      <c r="AD8" s="6">
        <v>46081</v>
      </c>
      <c r="AF8" s="31" t="s">
        <v>16</v>
      </c>
      <c r="AG8" s="31"/>
      <c r="AH8" s="31"/>
      <c r="AI8" s="31"/>
      <c r="AJ8" s="31"/>
    </row>
    <row r="9" spans="1:36" x14ac:dyDescent="0.35">
      <c r="B9" s="7" t="s">
        <v>0</v>
      </c>
      <c r="C9" s="8" t="str">
        <f>TEXT(C8,"ddd")</f>
        <v>Sun</v>
      </c>
      <c r="D9" s="8" t="str">
        <f t="shared" ref="D9:AD9" si="0">TEXT(D8,"ddd")</f>
        <v>Mon</v>
      </c>
      <c r="E9" s="8" t="str">
        <f t="shared" si="0"/>
        <v>Tue</v>
      </c>
      <c r="F9" s="8" t="str">
        <f t="shared" si="0"/>
        <v>Wed</v>
      </c>
      <c r="G9" s="8" t="str">
        <f t="shared" si="0"/>
        <v>Thu</v>
      </c>
      <c r="H9" s="8" t="str">
        <f t="shared" si="0"/>
        <v>Fri</v>
      </c>
      <c r="I9" s="8" t="str">
        <f t="shared" si="0"/>
        <v>Sat</v>
      </c>
      <c r="J9" s="8" t="str">
        <f t="shared" si="0"/>
        <v>Sun</v>
      </c>
      <c r="K9" s="8" t="str">
        <f t="shared" si="0"/>
        <v>Mon</v>
      </c>
      <c r="L9" s="8" t="str">
        <f t="shared" si="0"/>
        <v>Tue</v>
      </c>
      <c r="M9" s="8" t="str">
        <f t="shared" si="0"/>
        <v>Wed</v>
      </c>
      <c r="N9" s="8" t="str">
        <f t="shared" si="0"/>
        <v>Thu</v>
      </c>
      <c r="O9" s="8" t="str">
        <f t="shared" si="0"/>
        <v>Fri</v>
      </c>
      <c r="P9" s="8" t="str">
        <f t="shared" si="0"/>
        <v>Sat</v>
      </c>
      <c r="Q9" s="8" t="str">
        <f t="shared" si="0"/>
        <v>Sun</v>
      </c>
      <c r="R9" s="8" t="str">
        <f t="shared" si="0"/>
        <v>Mon</v>
      </c>
      <c r="S9" s="8" t="str">
        <f t="shared" si="0"/>
        <v>Tue</v>
      </c>
      <c r="T9" s="8" t="str">
        <f t="shared" si="0"/>
        <v>Wed</v>
      </c>
      <c r="U9" s="8" t="str">
        <f t="shared" si="0"/>
        <v>Thu</v>
      </c>
      <c r="V9" s="8" t="str">
        <f t="shared" si="0"/>
        <v>Fri</v>
      </c>
      <c r="W9" s="8" t="str">
        <f t="shared" si="0"/>
        <v>Sat</v>
      </c>
      <c r="X9" s="8" t="str">
        <f t="shared" si="0"/>
        <v>Sun</v>
      </c>
      <c r="Y9" s="8" t="str">
        <f t="shared" si="0"/>
        <v>Mon</v>
      </c>
      <c r="Z9" s="8" t="str">
        <f t="shared" si="0"/>
        <v>Tue</v>
      </c>
      <c r="AA9" s="8" t="str">
        <f t="shared" si="0"/>
        <v>Wed</v>
      </c>
      <c r="AB9" s="8" t="str">
        <f t="shared" si="0"/>
        <v>Thu</v>
      </c>
      <c r="AC9" s="8" t="str">
        <f t="shared" si="0"/>
        <v>Fri</v>
      </c>
      <c r="AD9" s="8" t="str">
        <f t="shared" si="0"/>
        <v>Sat</v>
      </c>
      <c r="AF9" s="8" t="s">
        <v>13</v>
      </c>
      <c r="AG9" s="8" t="s">
        <v>14</v>
      </c>
      <c r="AH9" s="8" t="s">
        <v>7</v>
      </c>
      <c r="AI9" s="8" t="s">
        <v>15</v>
      </c>
      <c r="AJ9" s="8" t="s">
        <v>12</v>
      </c>
    </row>
    <row r="10" spans="1:36" ht="22" customHeight="1" x14ac:dyDescent="0.35">
      <c r="B10" s="21" t="s">
        <v>18</v>
      </c>
      <c r="C10" s="23" t="s">
        <v>4</v>
      </c>
      <c r="D10" s="23"/>
      <c r="E10" s="23"/>
      <c r="F10" s="23"/>
      <c r="G10" s="23"/>
      <c r="H10" s="23"/>
      <c r="I10" s="23" t="s">
        <v>5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 t="s">
        <v>4</v>
      </c>
      <c r="AA10" s="23"/>
      <c r="AB10" s="23"/>
      <c r="AC10" s="23"/>
      <c r="AD10" s="23"/>
      <c r="AF10" s="23" cm="1">
        <f t="array" ref="AF10">SUMPRODUCT(($C$9:$AD$9="Sat")+($C$9:$AD$9="Sun"),--(C10:AD10&lt;&gt;""))</f>
        <v>2</v>
      </c>
      <c r="AG10" s="23">
        <f>COUNTIF(C10:AD10,"M")</f>
        <v>0</v>
      </c>
      <c r="AH10" s="23">
        <f>COUNTIF(C10:AD10,"A")</f>
        <v>2</v>
      </c>
      <c r="AI10" s="23">
        <f>COUNTIF(C10:AD10,"N")</f>
        <v>1</v>
      </c>
      <c r="AJ10" s="23">
        <f>SUM(AG10:AI10)</f>
        <v>3</v>
      </c>
    </row>
    <row r="11" spans="1:36" ht="22" customHeight="1" x14ac:dyDescent="0.35">
      <c r="B11" s="21" t="s">
        <v>19</v>
      </c>
      <c r="C11" s="23"/>
      <c r="D11" s="23"/>
      <c r="E11" s="23"/>
      <c r="F11" s="23"/>
      <c r="G11" s="23"/>
      <c r="H11" s="23"/>
      <c r="I11" s="23" t="s">
        <v>4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 t="s">
        <v>5</v>
      </c>
      <c r="AA11" s="23" t="s">
        <v>4</v>
      </c>
      <c r="AB11" s="23"/>
      <c r="AC11" s="23"/>
      <c r="AD11" s="23"/>
      <c r="AF11" s="23" cm="1">
        <f t="array" ref="AF11">SUMPRODUCT(($C$9:$AD$9="Sat")+($C$9:$AD$9="Sun"),--(C11:AD11&lt;&gt;""))</f>
        <v>1</v>
      </c>
      <c r="AG11" s="23">
        <f>COUNTIF(C11:AD11,"M")</f>
        <v>0</v>
      </c>
      <c r="AH11" s="23">
        <f>COUNTIF(C11:AD11,"A")</f>
        <v>2</v>
      </c>
      <c r="AI11" s="23">
        <f>COUNTIF(C11:AD11,"N")</f>
        <v>1</v>
      </c>
      <c r="AJ11" s="23">
        <f t="shared" ref="AJ11:AJ15" si="1">SUM(AG11:AI11)</f>
        <v>3</v>
      </c>
    </row>
    <row r="12" spans="1:36" ht="22" customHeight="1" x14ac:dyDescent="0.35">
      <c r="B12" s="21" t="s">
        <v>20</v>
      </c>
      <c r="C12" s="23"/>
      <c r="E12" s="23"/>
      <c r="F12" s="23"/>
      <c r="G12" s="23"/>
      <c r="H12" s="23"/>
      <c r="I12" s="23" t="s">
        <v>2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F12" s="23" cm="1">
        <f t="array" ref="AF12">SUMPRODUCT(($C$9:$AD$9="Sat")+($C$9:$AD$9="Sun"),--(C12:AD12&lt;&gt;""))</f>
        <v>1</v>
      </c>
      <c r="AG12" s="23">
        <f>COUNTIF(C12:AD12,"M")</f>
        <v>1</v>
      </c>
      <c r="AH12" s="23">
        <f>COUNTIF(C12:AD12,"A")</f>
        <v>0</v>
      </c>
      <c r="AI12" s="23">
        <f>COUNTIF(C12:AD12,"N")</f>
        <v>0</v>
      </c>
      <c r="AJ12" s="23">
        <f t="shared" si="1"/>
        <v>1</v>
      </c>
    </row>
    <row r="13" spans="1:36" ht="22" customHeight="1" x14ac:dyDescent="0.35">
      <c r="B13" s="21" t="s">
        <v>21</v>
      </c>
      <c r="C13" s="23" t="s">
        <v>2</v>
      </c>
      <c r="D13" s="23"/>
      <c r="E13" s="23"/>
      <c r="F13" s="23"/>
      <c r="G13" s="23"/>
      <c r="H13" s="23"/>
      <c r="I13" s="23" t="s">
        <v>4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 t="s">
        <v>4</v>
      </c>
      <c r="AA13" s="23" t="s">
        <v>2</v>
      </c>
      <c r="AB13" s="23"/>
      <c r="AC13" s="23"/>
      <c r="AD13" s="23"/>
      <c r="AF13" s="23" cm="1">
        <f t="array" ref="AF13">SUMPRODUCT(($C$9:$AD$9="Sat")+($C$9:$AD$9="Sun"),--(C13:AD13&lt;&gt;""))</f>
        <v>2</v>
      </c>
      <c r="AG13" s="23">
        <f>COUNTIF(C13:AD13,"M")</f>
        <v>2</v>
      </c>
      <c r="AH13" s="23">
        <f>COUNTIF(C13:AD13,"A")</f>
        <v>2</v>
      </c>
      <c r="AI13" s="23">
        <f>COUNTIF(C13:AD13,"N")</f>
        <v>0</v>
      </c>
      <c r="AJ13" s="23">
        <f t="shared" si="1"/>
        <v>4</v>
      </c>
    </row>
    <row r="14" spans="1:36" ht="22" customHeight="1" x14ac:dyDescent="0.35">
      <c r="B14" s="21" t="s">
        <v>22</v>
      </c>
      <c r="C14" s="23"/>
      <c r="D14" s="23"/>
      <c r="E14" s="23"/>
      <c r="F14" s="23"/>
      <c r="G14" s="23"/>
      <c r="H14" s="23"/>
      <c r="I14" s="23" t="s">
        <v>5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F14" s="23" cm="1">
        <f t="array" ref="AF14">SUMPRODUCT(($C$9:$AD$9="Sat")+($C$9:$AD$9="Sun"),--(C14:AD14&lt;&gt;""))</f>
        <v>1</v>
      </c>
      <c r="AG14" s="23">
        <f>COUNTIF(C14:AD14,"M")</f>
        <v>0</v>
      </c>
      <c r="AH14" s="23">
        <f>COUNTIF(C14:AD14,"A")</f>
        <v>0</v>
      </c>
      <c r="AI14" s="23">
        <f>COUNTIF(C14:AD14,"N")</f>
        <v>1</v>
      </c>
      <c r="AJ14" s="23">
        <f t="shared" si="1"/>
        <v>1</v>
      </c>
    </row>
    <row r="15" spans="1:36" ht="22" customHeight="1" x14ac:dyDescent="0.35">
      <c r="B15" s="21" t="s">
        <v>23</v>
      </c>
      <c r="C15" s="23" t="s">
        <v>5</v>
      </c>
      <c r="D15" s="23"/>
      <c r="E15" s="23"/>
      <c r="F15" s="23"/>
      <c r="G15" s="23"/>
      <c r="H15" s="23"/>
      <c r="I15" s="23" t="s">
        <v>2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 t="s">
        <v>2</v>
      </c>
      <c r="AA15" s="23" t="s">
        <v>5</v>
      </c>
      <c r="AB15" s="23"/>
      <c r="AC15" s="23"/>
      <c r="AD15" s="23"/>
      <c r="AF15" s="23" cm="1">
        <f t="array" ref="AF15">SUMPRODUCT(($C$9:$AD$9="Sat")+($C$9:$AD$9="Sun"),--(C15:AD15&lt;&gt;""))</f>
        <v>2</v>
      </c>
      <c r="AG15" s="23">
        <f>COUNTIF(C15:AD15,"M")</f>
        <v>2</v>
      </c>
      <c r="AH15" s="23">
        <f>COUNTIF(C15:AD15,"A")</f>
        <v>0</v>
      </c>
      <c r="AI15" s="23">
        <f>COUNTIF(C15:AD15,"N")</f>
        <v>2</v>
      </c>
      <c r="AJ15" s="23">
        <f t="shared" si="1"/>
        <v>4</v>
      </c>
    </row>
    <row r="16" spans="1:36" ht="22" customHeight="1" x14ac:dyDescent="0.35">
      <c r="B16" s="26" t="s">
        <v>10</v>
      </c>
      <c r="C16" s="27">
        <f>COUNTA(C10:C15)</f>
        <v>3</v>
      </c>
      <c r="D16" s="27">
        <f t="shared" ref="D16:AD16" si="2">COUNTA(D10:D15)</f>
        <v>0</v>
      </c>
      <c r="E16" s="27">
        <f t="shared" si="2"/>
        <v>0</v>
      </c>
      <c r="F16" s="27">
        <f t="shared" si="2"/>
        <v>0</v>
      </c>
      <c r="G16" s="27">
        <f t="shared" si="2"/>
        <v>0</v>
      </c>
      <c r="H16" s="27">
        <f t="shared" si="2"/>
        <v>0</v>
      </c>
      <c r="I16" s="27">
        <f t="shared" si="2"/>
        <v>6</v>
      </c>
      <c r="J16" s="27">
        <f t="shared" si="2"/>
        <v>0</v>
      </c>
      <c r="K16" s="27">
        <f t="shared" si="2"/>
        <v>0</v>
      </c>
      <c r="L16" s="27">
        <f t="shared" si="2"/>
        <v>0</v>
      </c>
      <c r="M16" s="27">
        <f t="shared" si="2"/>
        <v>0</v>
      </c>
      <c r="N16" s="27">
        <f t="shared" si="2"/>
        <v>0</v>
      </c>
      <c r="O16" s="27">
        <f t="shared" si="2"/>
        <v>0</v>
      </c>
      <c r="P16" s="27">
        <f t="shared" si="2"/>
        <v>0</v>
      </c>
      <c r="Q16" s="27">
        <f t="shared" si="2"/>
        <v>0</v>
      </c>
      <c r="R16" s="27">
        <f t="shared" si="2"/>
        <v>0</v>
      </c>
      <c r="S16" s="27">
        <f t="shared" si="2"/>
        <v>0</v>
      </c>
      <c r="T16" s="27">
        <f t="shared" si="2"/>
        <v>0</v>
      </c>
      <c r="U16" s="27">
        <f t="shared" si="2"/>
        <v>0</v>
      </c>
      <c r="V16" s="27">
        <f t="shared" si="2"/>
        <v>0</v>
      </c>
      <c r="W16" s="27">
        <f t="shared" si="2"/>
        <v>0</v>
      </c>
      <c r="X16" s="27">
        <f t="shared" si="2"/>
        <v>0</v>
      </c>
      <c r="Y16" s="27">
        <f t="shared" si="2"/>
        <v>0</v>
      </c>
      <c r="Z16" s="27">
        <f t="shared" si="2"/>
        <v>4</v>
      </c>
      <c r="AA16" s="27">
        <f t="shared" si="2"/>
        <v>3</v>
      </c>
      <c r="AB16" s="27">
        <f t="shared" si="2"/>
        <v>0</v>
      </c>
      <c r="AC16" s="27">
        <f t="shared" si="2"/>
        <v>0</v>
      </c>
      <c r="AD16" s="27">
        <f t="shared" si="2"/>
        <v>0</v>
      </c>
      <c r="AF16" s="23"/>
      <c r="AG16" s="23"/>
      <c r="AH16" s="23"/>
      <c r="AI16" s="23"/>
    </row>
    <row r="17" spans="2:30" ht="16.75" customHeight="1" x14ac:dyDescent="0.35">
      <c r="B17" s="28" t="s">
        <v>17</v>
      </c>
      <c r="C17" s="29" t="str" cm="1">
        <f t="array" ref="C17">IF(MIN(COUNTIF(C10:C15,{"M","A","N"}))=0,"Missing","")</f>
        <v/>
      </c>
      <c r="D17" s="29" t="str" cm="1">
        <f t="array" ref="D17">IF(MIN(COUNTIF(D10:D15,{"M","A","N"}))=0,"Missing","")</f>
        <v>Missing</v>
      </c>
      <c r="E17" s="29" t="str" cm="1">
        <f t="array" ref="E17">IF(MIN(COUNTIF(E10:E15,{"M","A","N"}))=0,"Missing","")</f>
        <v>Missing</v>
      </c>
      <c r="F17" s="29" t="str" cm="1">
        <f t="array" ref="F17">IF(MIN(COUNTIF(F10:F15,{"M","A","N"}))=0,"Missing","")</f>
        <v>Missing</v>
      </c>
      <c r="G17" s="29" t="str" cm="1">
        <f t="array" ref="G17">IF(MIN(COUNTIF(G10:G15,{"M","A","N"}))=0,"Missing","")</f>
        <v>Missing</v>
      </c>
      <c r="H17" s="29" t="str" cm="1">
        <f t="array" ref="H17">IF(MIN(COUNTIF(H10:H15,{"M","A","N"}))=0,"Missing","")</f>
        <v>Missing</v>
      </c>
      <c r="I17" s="29" t="str" cm="1">
        <f t="array" ref="I17">IF(MIN(COUNTIF(I10:I15,{"M","A","N"}))=0,"Missing","")</f>
        <v/>
      </c>
      <c r="J17" s="29" t="str" cm="1">
        <f t="array" ref="J17">IF(MIN(COUNTIF(J10:J15,{"M","A","N"}))=0,"Missing","")</f>
        <v>Missing</v>
      </c>
      <c r="K17" s="29" t="str" cm="1">
        <f t="array" ref="K17">IF(MIN(COUNTIF(K10:K15,{"M","A","N"}))=0,"Missing","")</f>
        <v>Missing</v>
      </c>
      <c r="L17" s="29" t="str" cm="1">
        <f t="array" ref="L17">IF(MIN(COUNTIF(L10:L15,{"M","A","N"}))=0,"Missing","")</f>
        <v>Missing</v>
      </c>
      <c r="M17" s="29" t="str" cm="1">
        <f t="array" ref="M17">IF(MIN(COUNTIF(M10:M15,{"M","A","N"}))=0,"Missing","")</f>
        <v>Missing</v>
      </c>
      <c r="N17" s="29" t="str" cm="1">
        <f t="array" ref="N17">IF(MIN(COUNTIF(N10:N15,{"M","A","N"}))=0,"Missing","")</f>
        <v>Missing</v>
      </c>
      <c r="O17" s="29" t="str" cm="1">
        <f t="array" ref="O17">IF(MIN(COUNTIF(O10:O15,{"M","A","N"}))=0,"Missing","")</f>
        <v>Missing</v>
      </c>
      <c r="P17" s="29" t="str" cm="1">
        <f t="array" ref="P17">IF(MIN(COUNTIF(P10:P15,{"M","A","N"}))=0,"Missing","")</f>
        <v>Missing</v>
      </c>
      <c r="Q17" s="29" t="str" cm="1">
        <f t="array" ref="Q17">IF(MIN(COUNTIF(Q10:Q15,{"M","A","N"}))=0,"Missing","")</f>
        <v>Missing</v>
      </c>
      <c r="R17" s="29" t="str" cm="1">
        <f t="array" ref="R17">IF(MIN(COUNTIF(R10:R15,{"M","A","N"}))=0,"Missing","")</f>
        <v>Missing</v>
      </c>
      <c r="S17" s="29" t="str" cm="1">
        <f t="array" ref="S17">IF(MIN(COUNTIF(S10:S15,{"M","A","N"}))=0,"Missing","")</f>
        <v>Missing</v>
      </c>
      <c r="T17" s="29" t="str" cm="1">
        <f t="array" ref="T17">IF(MIN(COUNTIF(T10:T15,{"M","A","N"}))=0,"Missing","")</f>
        <v>Missing</v>
      </c>
      <c r="U17" s="29" t="str" cm="1">
        <f t="array" ref="U17">IF(MIN(COUNTIF(U10:U15,{"M","A","N"}))=0,"Missing","")</f>
        <v>Missing</v>
      </c>
      <c r="V17" s="29" t="str" cm="1">
        <f t="array" ref="V17">IF(MIN(COUNTIF(V10:V15,{"M","A","N"}))=0,"Missing","")</f>
        <v>Missing</v>
      </c>
      <c r="W17" s="29" t="str" cm="1">
        <f t="array" ref="W17">IF(MIN(COUNTIF(W10:W15,{"M","A","N"}))=0,"Missing","")</f>
        <v>Missing</v>
      </c>
      <c r="X17" s="29" t="str" cm="1">
        <f t="array" ref="X17">IF(MIN(COUNTIF(X10:X15,{"M","A","N"}))=0,"Missing","")</f>
        <v>Missing</v>
      </c>
      <c r="Y17" s="29" t="str" cm="1">
        <f t="array" ref="Y17">IF(MIN(COUNTIF(Y10:Y15,{"M","A","N"}))=0,"Missing","")</f>
        <v>Missing</v>
      </c>
      <c r="Z17" s="29" t="str" cm="1">
        <f t="array" ref="Z17">IF(MIN(COUNTIF(Z10:Z15,{"M","A","N"}))=0,"Missing","")</f>
        <v/>
      </c>
      <c r="AA17" s="29" t="str" cm="1">
        <f t="array" ref="AA17">IF(MIN(COUNTIF(AA10:AA15,{"M","A","N"}))=0,"Missing","")</f>
        <v/>
      </c>
      <c r="AB17" s="29" t="str" cm="1">
        <f t="array" ref="AB17">IF(MIN(COUNTIF(AB10:AB15,{"M","A","N"}))=0,"Missing","")</f>
        <v>Missing</v>
      </c>
      <c r="AC17" s="29" t="str" cm="1">
        <f t="array" ref="AC17">IF(MIN(COUNTIF(AC10:AC15,{"M","A","N"}))=0,"Missing","")</f>
        <v>Missing</v>
      </c>
      <c r="AD17" s="29" t="str" cm="1">
        <f t="array" ref="AD17">IF(MIN(COUNTIF(AD10:AD15,{"M","A","N"}))=0,"Missing","")</f>
        <v>Missing</v>
      </c>
    </row>
    <row r="19" spans="2:30" x14ac:dyDescent="0.35">
      <c r="B19" s="1"/>
    </row>
    <row r="20" spans="2:30" x14ac:dyDescent="0.35">
      <c r="B20" s="1"/>
    </row>
    <row r="21" spans="2:30" x14ac:dyDescent="0.35">
      <c r="B21" s="1"/>
    </row>
    <row r="22" spans="2:30" x14ac:dyDescent="0.35">
      <c r="B22" s="1"/>
    </row>
  </sheetData>
  <mergeCells count="1">
    <mergeCell ref="AF8:AJ8"/>
  </mergeCells>
  <conditionalFormatting sqref="C10:N11 O10:AD12 C12 E12:I12 J12:N13 O13:V13 C13:I14 W13:AD15 J14:V14 C15:V15">
    <cfRule type="cellIs" dxfId="3" priority="5" operator="equal">
      <formula>"M"</formula>
    </cfRule>
    <cfRule type="cellIs" dxfId="2" priority="6" operator="equal">
      <formula>"A"</formula>
    </cfRule>
    <cfRule type="cellIs" dxfId="1" priority="7" operator="equal">
      <formula>"N"</formula>
    </cfRule>
  </conditionalFormatting>
  <conditionalFormatting sqref="C8:AD17">
    <cfRule type="expression" dxfId="0" priority="2">
      <formula>C$8=TODAY()</formula>
    </cfRule>
  </conditionalFormatting>
  <conditionalFormatting sqref="AF10:AF1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{85D8D0CB-88E9-492D-99A6-4C976DBB66AB}</x14:id>
        </ext>
      </extLst>
    </cfRule>
  </conditionalFormatting>
  <conditionalFormatting sqref="AJ10:AJ1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{A2EAD553-1841-4AC1-AEBA-45B4B8F967E4}</x14:id>
        </ext>
      </extLst>
    </cfRule>
  </conditionalFormatting>
  <conditionalFormatting sqref="AF10:AF15 AJ10:AJ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{30341F2E-1351-4FEC-8BEC-94B8036CC0CD}</x14:id>
        </ext>
      </extLst>
    </cfRule>
  </conditionalFormatting>
  <dataValidations count="1">
    <dataValidation type="list" allowBlank="1" showInputMessage="1" showErrorMessage="1" sqref="D15:G15 H14:I15 D13:D14 C12:C15 F14:G14 C10:N11 J12:N15 E12:E14 F12:I13 O10:AD15" xr:uid="{F407A88E-B737-487B-ACDE-6483243C1EE1}">
      <formula1>$D$4:$D$6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D8D0CB-88E9-492D-99A6-4C976DBB66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AF10:AF15</xm:sqref>
        </x14:conditionalFormatting>
        <x14:conditionalFormatting xmlns:xm="http://schemas.microsoft.com/office/excel/2006/main">
          <x14:cfRule type="dataBar" id="{A2EAD553-1841-4AC1-AEBA-45B4B8F967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AJ10:AJ15</xm:sqref>
        </x14:conditionalFormatting>
        <x14:conditionalFormatting xmlns:xm="http://schemas.microsoft.com/office/excel/2006/main">
          <x14:cfRule type="dataBar" id="{30341F2E-1351-4FEC-8BEC-94B8036CC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AF10:AF15 AJ10:AJ15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</vt:lpstr>
      <vt:lpstr>February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INNOCENT UDEH</cp:lastModifiedBy>
  <cp:lastPrinted>2025-12-31T00:12:10Z</cp:lastPrinted>
  <dcterms:created xsi:type="dcterms:W3CDTF">2025-12-30T23:26:28Z</dcterms:created>
  <dcterms:modified xsi:type="dcterms:W3CDTF">2026-01-28T10:31:07Z</dcterms:modified>
</cp:coreProperties>
</file>